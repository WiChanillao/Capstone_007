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equisitos funcionales" sheetId="2" state="visible" r:id="rId4"/>
    <sheet name="Requisitos no funciona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<sst xmlns="http://schemas.openxmlformats.org/spreadsheetml/2006/main" count="632" uniqueCount="271">
  <si>
    <t xml:space="preserve">EcoScan Chile – Resumen de requisitos</t>
  </si>
  <si>
    <t xml:space="preserve">Fuente: EcoScan_Requisitos_v3_100_requisitos.docx (los conteos se calculan con fórmulas desde las hojas de detalle).</t>
  </si>
  <si>
    <t xml:space="preserve">Tipo</t>
  </si>
  <si>
    <t xml:space="preserve">Implementado</t>
  </si>
  <si>
    <t xml:space="preserve">Parcial</t>
  </si>
  <si>
    <t xml:space="preserve">Pendiente</t>
  </si>
  <si>
    <t xml:space="preserve">A verificar</t>
  </si>
  <si>
    <t xml:space="preserve">A medir</t>
  </si>
  <si>
    <t xml:space="preserve">Propuesto</t>
  </si>
  <si>
    <t xml:space="preserve">Total</t>
  </si>
  <si>
    <t xml:space="preserve">Funcionales</t>
  </si>
  <si>
    <t xml:space="preserve">No funcionales</t>
  </si>
  <si>
    <t xml:space="preserve">Por prioridad</t>
  </si>
  <si>
    <t xml:space="preserve">Alta</t>
  </si>
  <si>
    <t xml:space="preserve">Media</t>
  </si>
  <si>
    <t xml:space="preserve">Baja</t>
  </si>
  <si>
    <t xml:space="preserve">Nota: 'Propuesto' = requisito nuevo que el equipo debe decidir si adopta; no describe lo que la app hace hoy.</t>
  </si>
  <si>
    <t xml:space="preserve">Módulo / grupo</t>
  </si>
  <si>
    <t xml:space="preserve">ID</t>
  </si>
  <si>
    <t xml:space="preserve">Descripción</t>
  </si>
  <si>
    <t xml:space="preserve">Prioridad</t>
  </si>
  <si>
    <t xml:space="preserve">Estado</t>
  </si>
  <si>
    <t xml:space="preserve">Proceso BPMN</t>
  </si>
  <si>
    <t xml:space="preserve">RF · Módulo Escáner IA</t>
  </si>
  <si>
    <t xml:space="preserve">RF-01</t>
  </si>
  <si>
    <t xml:space="preserve">Permitir subir una imagen desde archivo o tomarla con la cámara del dispositivo en la pestaña Escáner IA.</t>
  </si>
  <si>
    <t xml:space="preserve">01</t>
  </si>
  <si>
    <t xml:space="preserve">RF-02</t>
  </si>
  <si>
    <t xml:space="preserve">Mostrar una vista previa de la imagen cargada antes de enviarla a clasificar.</t>
  </si>
  <si>
    <t xml:space="preserve">RF-03</t>
  </si>
  <si>
    <t xml:space="preserve">Enviar la imagen al servicio de inferencia (POST /predict) y mostrar un estado de carga ("Esperando imagen...") mientras se espera la respuesta.</t>
  </si>
  <si>
    <t xml:space="preserve">01, 02</t>
  </si>
  <si>
    <t xml:space="preserve">RF-04</t>
  </si>
  <si>
    <t xml:space="preserve">Clasificar el residuo de la imagen en una categoría de material soportada (Cartón y Papel, Plástico PET/HDPE, Aluminio).</t>
  </si>
  <si>
    <t xml:space="preserve">Parcial (B-3)</t>
  </si>
  <si>
    <t xml:space="preserve">02</t>
  </si>
  <si>
    <t xml:space="preserve">RF-05</t>
  </si>
  <si>
    <t xml:space="preserve">Aplicar un umbral mínimo de confianza para aceptar una clasificación; bajo ese umbral, solicitar repetir la captura.</t>
  </si>
  <si>
    <t xml:space="preserve">RF-06</t>
  </si>
  <si>
    <t xml:space="preserve">Rechazar imágenes borrosas o de baja calidad antes de clasificar, pidiendo una nueva foto.</t>
  </si>
  <si>
    <t xml:space="preserve">RF-07</t>
  </si>
  <si>
    <t xml:space="preserve">Mostrar el contenedor de reciclaje recomendado (color) y una lista numerada de pasos de preparación.</t>
  </si>
  <si>
    <t xml:space="preserve">RF-08</t>
  </si>
  <si>
    <t xml:space="preserve">Permitir alternar entre "¿Cómo Reciclar?" y "¿Cómo Reutilizar?", cada uno con sus pasos y enlaces.</t>
  </si>
  <si>
    <t xml:space="preserve">RF-09</t>
  </si>
  <si>
    <t xml:space="preserve">Mostrar enlaces a recursos externos relacionados con el material detectado (Portal ReciclaChile MMA, TriCiclos Chile, etc.).</t>
  </si>
  <si>
    <t xml:space="preserve">01, 09</t>
  </si>
  <si>
    <t xml:space="preserve">RF-10</t>
  </si>
  <si>
    <t xml:space="preserve">Mostrar un contador de materiales detectados en la imagen analizada.</t>
  </si>
  <si>
    <t xml:space="preserve">RF-11</t>
  </si>
  <si>
    <t xml:space="preserve">Mostrar un banner rotativo con datos de impacto ambiental de la RM, con botón "Siguiente".</t>
  </si>
  <si>
    <t xml:space="preserve">RF-25</t>
  </si>
  <si>
    <t xml:space="preserve">Identificar más de un material simultáneamente en una misma imagen (planeado; hoy el modelo devuelve una sola etiqueta, brecha B-1).</t>
  </si>
  <si>
    <t xml:space="preserve">Pendiente (B-1)</t>
  </si>
  <si>
    <t xml:space="preserve">02, 06</t>
  </si>
  <si>
    <t xml:space="preserve">RF-26</t>
  </si>
  <si>
    <t xml:space="preserve">Aceptar solo imágenes JPG, PNG o WebP y rechazar otros formatos con un mensaje claro, tanto en el cliente como en el servicio.</t>
  </si>
  <si>
    <t xml:space="preserve">RF-27</t>
  </si>
  <si>
    <t xml:space="preserve">Informar el tamaño máximo permitido antes de subir el archivo y validarlo en el cliente.</t>
  </si>
  <si>
    <t xml:space="preserve">RF-28</t>
  </si>
  <si>
    <t xml:space="preserve">Permitir descartar la imagen cargada y escanear otra sin recargar la página.</t>
  </si>
  <si>
    <t xml:space="preserve">RF-29</t>
  </si>
  <si>
    <t xml:space="preserve">Mostrar un mensaje específico cuando el servicio no responda en 10 s y ofrecer un botón de reintento.</t>
  </si>
  <si>
    <t xml:space="preserve">RF-30</t>
  </si>
  <si>
    <t xml:space="preserve">Mostrar la confianza de la clasificación (porcentaje o nivel alto / medio).</t>
  </si>
  <si>
    <t xml:space="preserve">RF-31</t>
  </si>
  <si>
    <t xml:space="preserve">Cuando un material no tenga contenedor confirmado (p. ej. Aluminio, B-3), indicarlo explícitamente en lugar de mostrar un dato no verificado.</t>
  </si>
  <si>
    <t xml:space="preserve">01, 07</t>
  </si>
  <si>
    <t xml:space="preserve">RF-32</t>
  </si>
  <si>
    <t xml:space="preserve">Permitir al usuario valorar si la clasificación fue correcta y, si no, indicar el material correcto.</t>
  </si>
  <si>
    <t xml:space="preserve">11</t>
  </si>
  <si>
    <t xml:space="preserve">RF-33</t>
  </si>
  <si>
    <t xml:space="preserve">Mostrar las dos o tres clases más probables cuando la confianza esté cerca del umbral.</t>
  </si>
  <si>
    <t xml:space="preserve">RF-34</t>
  </si>
  <si>
    <t xml:space="preserve">Permitir copiar o compartir el resultado (material y contenedor) como texto.</t>
  </si>
  <si>
    <t xml:space="preserve">RF-35</t>
  </si>
  <si>
    <t xml:space="preserve">Mostrar un historial local de los últimos escaneos de la sesión.</t>
  </si>
  <si>
    <t xml:space="preserve">01, 10</t>
  </si>
  <si>
    <t xml:space="preserve">RF-36</t>
  </si>
  <si>
    <t xml:space="preserve">Sugerir los puntos limpios que acepten el material detectado, con acceso directo a la pestaña Puntos Limpios RM.</t>
  </si>
  <si>
    <t xml:space="preserve">01, 03</t>
  </si>
  <si>
    <t xml:space="preserve">RF · Módulo Puntos Limpios RM</t>
  </si>
  <si>
    <t xml:space="preserve">RF-12</t>
  </si>
  <si>
    <t xml:space="preserve">Listar los puntos limpios de la RM con nombre, comuna, dirección, horario y materiales aceptados.</t>
  </si>
  <si>
    <t xml:space="preserve">03</t>
  </si>
  <si>
    <t xml:space="preserve">RF-13</t>
  </si>
  <si>
    <t xml:space="preserve">Permitir filtrar el listado por comuna (incluida la opción "Todas").</t>
  </si>
  <si>
    <t xml:space="preserve">RF-14</t>
  </si>
  <si>
    <t xml:space="preserve">Actualizar el listado de inmediato al cambiar el filtro de comuna, sin recargar la página.</t>
  </si>
  <si>
    <t xml:space="preserve">RF-37</t>
  </si>
  <si>
    <t xml:space="preserve">Permitir filtrar los puntos limpios por material aceptado, además de por comuna.</t>
  </si>
  <si>
    <t xml:space="preserve">RF-38</t>
  </si>
  <si>
    <t xml:space="preserve">Permitir buscar puntos limpios por nombre o dirección.</t>
  </si>
  <si>
    <t xml:space="preserve">RF-39</t>
  </si>
  <si>
    <t xml:space="preserve">Indicar si un punto está abierto en este momento según su horario estructurado.</t>
  </si>
  <si>
    <t xml:space="preserve">03, 08</t>
  </si>
  <si>
    <t xml:space="preserve">RF-40</t>
  </si>
  <si>
    <t xml:space="preserve">Ofrecer un enlace "Cómo llegar" a un mapa externo usando las coordenadas del punto.</t>
  </si>
  <si>
    <t xml:space="preserve">RF-41</t>
  </si>
  <si>
    <t xml:space="preserve">Permitir reportar un dato incorrecto de un punto limpio (dirección, horario, materiales o cierre).</t>
  </si>
  <si>
    <t xml:space="preserve">08</t>
  </si>
  <si>
    <t xml:space="preserve">RF-42</t>
  </si>
  <si>
    <t xml:space="preserve">Ordenar los puntos por cercanía cuando el usuario autorice la geolocalización.</t>
  </si>
  <si>
    <t xml:space="preserve">RF-43</t>
  </si>
  <si>
    <t xml:space="preserve">Mostrar un mensaje "sin resultados" cuando el filtro aplicado no devuelva puntos limpios.</t>
  </si>
  <si>
    <t xml:space="preserve">RF · Módulo Eco-Simulador RM</t>
  </si>
  <si>
    <t xml:space="preserve">RF-15</t>
  </si>
  <si>
    <t xml:space="preserve">Permitir ajustar con deslizadores la cantidad semanal de botellas PET, latas y cajas de cartón.</t>
  </si>
  <si>
    <t xml:space="preserve">04</t>
  </si>
  <si>
    <t xml:space="preserve">RF-16</t>
  </si>
  <si>
    <t xml:space="preserve">Recalcular en tiempo real el impacto anual: agua ahorrada (L), CO₂ no emitido (kg) y residuos desviados (kg).</t>
  </si>
  <si>
    <t xml:space="preserve">RF-17</t>
  </si>
  <si>
    <t xml:space="preserve">Presentar los resultados junto a una referencia comparativa (duchas de 5 minutos, km en bus Red).</t>
  </si>
  <si>
    <t xml:space="preserve">RF-18</t>
  </si>
  <si>
    <t xml:space="preserve">Mostrar un mensaje educativo dinámico ("¿Sabías que...?") relacionado con el impacto proyectado.</t>
  </si>
  <si>
    <t xml:space="preserve">RF-44</t>
  </si>
  <si>
    <t xml:space="preserve">Mostrar junto a cada deslizador su valor actual y su unidad (un/sem).</t>
  </si>
  <si>
    <t xml:space="preserve">RF-45</t>
  </si>
  <si>
    <t xml:space="preserve">Restringir los valores a números enteros dentro del rango mínimo–máximo de cada ítem.</t>
  </si>
  <si>
    <t xml:space="preserve">RF-46</t>
  </si>
  <si>
    <t xml:space="preserve">Mostrar la fuente y la vigencia de los factores de impacto utilizados en el cálculo.</t>
  </si>
  <si>
    <t xml:space="preserve">RF-47</t>
  </si>
  <si>
    <t xml:space="preserve">Permitir guardar un escenario con nombre asociado a la sesión.</t>
  </si>
  <si>
    <t xml:space="preserve">RF-48</t>
  </si>
  <si>
    <t xml:space="preserve">Permitir comparar dos escenarios guardados.</t>
  </si>
  <si>
    <t xml:space="preserve">RF-49</t>
  </si>
  <si>
    <t xml:space="preserve">Permitir restablecer los deslizadores a sus valores por defecto con un solo control.</t>
  </si>
  <si>
    <t xml:space="preserve">RF · Módulo Desafío Verde RM</t>
  </si>
  <si>
    <t xml:space="preserve">RF-19</t>
  </si>
  <si>
    <t xml:space="preserve">Presentar cuatro hábitos sustentables semanales, cada uno con título y descripción.</t>
  </si>
  <si>
    <t xml:space="preserve">05</t>
  </si>
  <si>
    <t xml:space="preserve">RF-20</t>
  </si>
  <si>
    <t xml:space="preserve">Permitir marcar y desmarcar cada hábito con una casilla de verificación.</t>
  </si>
  <si>
    <t xml:space="preserve">RF-21</t>
  </si>
  <si>
    <t xml:space="preserve">Calcular y mostrar el porcentaje de progreso semanal (marcados / 4 × 100).</t>
  </si>
  <si>
    <t xml:space="preserve">RF-22</t>
  </si>
  <si>
    <t xml:space="preserve">Otorgar la insignia "Vecino Sustentable RM" cuando se completa el 100 % de los hábitos.</t>
  </si>
  <si>
    <t xml:space="preserve">RF-50</t>
  </si>
  <si>
    <t xml:space="preserve">Conservar el progreso y las insignias entre visitas (resuelve la brecha B-4).</t>
  </si>
  <si>
    <t xml:space="preserve">Propuesto (B-4)</t>
  </si>
  <si>
    <t xml:space="preserve">05, 10</t>
  </si>
  <si>
    <t xml:space="preserve">RF-51</t>
  </si>
  <si>
    <t xml:space="preserve">Mostrar la semana vigente del desafío con sus fechas de inicio y fin.</t>
  </si>
  <si>
    <t xml:space="preserve">RF-52</t>
  </si>
  <si>
    <t xml:space="preserve">Reiniciar el progreso al comenzar una nueva semana mediante un cierre semanal automático.</t>
  </si>
  <si>
    <t xml:space="preserve">RF-53</t>
  </si>
  <si>
    <t xml:space="preserve">Mostrar la racha de semanas completadas consecutivas.</t>
  </si>
  <si>
    <t xml:space="preserve">RF-54</t>
  </si>
  <si>
    <t xml:space="preserve">Mostrar las insignias obtenidas en semanas anteriores.</t>
  </si>
  <si>
    <t xml:space="preserve">RF-55</t>
  </si>
  <si>
    <t xml:space="preserve">Permitir a un administrador configurar los hábitos de cada semana.</t>
  </si>
  <si>
    <t xml:space="preserve">05, 07</t>
  </si>
  <si>
    <t xml:space="preserve">RF · Transversales, cuenta y administración</t>
  </si>
  <si>
    <t xml:space="preserve">RF-23</t>
  </si>
  <si>
    <t xml:space="preserve">Mantener visible la navegación entre los cuatro módulos.</t>
  </si>
  <si>
    <t xml:space="preserve">RF-24</t>
  </si>
  <si>
    <t xml:space="preserve">Operar el módulo Escáner IA sin descargar aplicación ni crear cuenta.</t>
  </si>
  <si>
    <t xml:space="preserve">RF-56</t>
  </si>
  <si>
    <t xml:space="preserve">Crear una sesión anónima y registrar el consentimiento del usuario para guardar sus imágenes.</t>
  </si>
  <si>
    <t xml:space="preserve">10</t>
  </si>
  <si>
    <t xml:space="preserve">RF-57</t>
  </si>
  <si>
    <t xml:space="preserve">Permitir crear una cuenta opcional con verificación de correo y vincular a ella el progreso anónimo.</t>
  </si>
  <si>
    <t xml:space="preserve">RF-58</t>
  </si>
  <si>
    <t xml:space="preserve">Ofrecer un panel de administración del catálogo de materiales, contenedores, pasos y recursos, con aprobación y auditoría.</t>
  </si>
  <si>
    <t xml:space="preserve">07</t>
  </si>
  <si>
    <t xml:space="preserve">RF-59</t>
  </si>
  <si>
    <t xml:space="preserve">Ofrecer a curadores un proceso de carga por lote y publicación de puntos limpios con revisión de diferencias.</t>
  </si>
  <si>
    <t xml:space="preserve">RF-60</t>
  </si>
  <si>
    <t xml:space="preserve">Generar un reporte mensual de inferencias por material y resultado (CSV y resumen).</t>
  </si>
  <si>
    <t xml:space="preserve">12</t>
  </si>
  <si>
    <t xml:space="preserve">RNF · Rendimiento</t>
  </si>
  <si>
    <t xml:space="preserve">RNF-01</t>
  </si>
  <si>
    <t xml:space="preserve">La latencia de /predict debe ser ≤ 2 s (objetivo p95), medida desde el envío hasta la respuesta mostrada.</t>
  </si>
  <si>
    <t xml:space="preserve">RNF-13</t>
  </si>
  <si>
    <t xml:space="preserve">La carga inicial de la app debe completarse en ≤ 2,5 s (LCP) con red 4G.</t>
  </si>
  <si>
    <t xml:space="preserve">13</t>
  </si>
  <si>
    <t xml:space="preserve">RNF-14</t>
  </si>
  <si>
    <t xml:space="preserve">Cambiar un filtro de comuna o mover un deslizador debe reflejarse en pantalla en ≤ 100 ms.</t>
  </si>
  <si>
    <t xml:space="preserve">03, 04</t>
  </si>
  <si>
    <t xml:space="preserve">RNF-15</t>
  </si>
  <si>
    <t xml:space="preserve">El backend debe sostener 50 solicitudes concurrentes a /predict manteniendo el p95 ≤ 2 s (valor a calibrar).</t>
  </si>
  <si>
    <t xml:space="preserve">02, 13</t>
  </si>
  <si>
    <t xml:space="preserve">RNF-16</t>
  </si>
  <si>
    <t xml:space="preserve">El paquete JavaScript inicial no debe superar 300 KB comprimido (valor a medir).</t>
  </si>
  <si>
    <t xml:space="preserve">RNF · Calidad del modelo</t>
  </si>
  <si>
    <t xml:space="preserve">RNF-02</t>
  </si>
  <si>
    <t xml:space="preserve">El modelo debe alcanzar un Macro-F1 ≥ 0,85 (a confirmar por el equipo de datos) antes de pasar a producción.</t>
  </si>
  <si>
    <t xml:space="preserve">06</t>
  </si>
  <si>
    <t xml:space="preserve">RNF-40</t>
  </si>
  <si>
    <t xml:space="preserve">Cada versión de modelo y dataset debe quedar versionada y cada inferencia debe indicar qué modelo la respondió.</t>
  </si>
  <si>
    <t xml:space="preserve">RNF · Disponibilidad y confiabilidad</t>
  </si>
  <si>
    <t xml:space="preserve">RNF-03</t>
  </si>
  <si>
    <t xml:space="preserve">El backend debe exponer un endpoint de salud (GET /health) para monitoreo (brecha B-2).</t>
  </si>
  <si>
    <t xml:space="preserve">Pendiente (B-2)</t>
  </si>
  <si>
    <t xml:space="preserve">13, 14</t>
  </si>
  <si>
    <t xml:space="preserve">RNF-10</t>
  </si>
  <si>
    <t xml:space="preserve">Los enlaces externos deben verificarse periódicamente; se detectó al menos uno caído (CP-06, B-5).</t>
  </si>
  <si>
    <t xml:space="preserve">Parcial (B-5)</t>
  </si>
  <si>
    <t xml:space="preserve">09</t>
  </si>
  <si>
    <t xml:space="preserve">RNF-27</t>
  </si>
  <si>
    <t xml:space="preserve">Disponibilidad objetivo del servicio de inferencia de 99 % mensual (valor a definir).</t>
  </si>
  <si>
    <t xml:space="preserve">RNF-28</t>
  </si>
  <si>
    <t xml:space="preserve">Respaldos diarios de la base de datos, con RPO ≤ 24 h y restauración probada cada trimestre.</t>
  </si>
  <si>
    <t xml:space="preserve">RNF-29</t>
  </si>
  <si>
    <t xml:space="preserve">Si el servicio de inferencia falla, los demás módulos deben seguir operando (degradación controlada).</t>
  </si>
  <si>
    <t xml:space="preserve">01, 14</t>
  </si>
  <si>
    <t xml:space="preserve">RNF-30</t>
  </si>
  <si>
    <t xml:space="preserve">El cliente debe aplicar un timeout de 10 s a /predict y permitir un reintento manual.</t>
  </si>
  <si>
    <t xml:space="preserve">RNF · Seguridad y privacidad</t>
  </si>
  <si>
    <t xml:space="preserve">RNF-06</t>
  </si>
  <si>
    <t xml:space="preserve">El backend debe validar tipo y tamaño del archivo y rechazar archivos no soportados con un error controlado (4xx).</t>
  </si>
  <si>
    <t xml:space="preserve">RNF-07</t>
  </si>
  <si>
    <t xml:space="preserve">El acceso frontend–backend debe acotarse con una política CORS explícita; definir el dominio de producción antes del despliegue.</t>
  </si>
  <si>
    <t xml:space="preserve">RNF-17</t>
  </si>
  <si>
    <t xml:space="preserve">Todo el tráfico en producción debe usar HTTPS (TLS 1.2 o superior).</t>
  </si>
  <si>
    <t xml:space="preserve">RNF-18</t>
  </si>
  <si>
    <t xml:space="preserve">Las contraseñas deben almacenarse con un hash adaptativo con sal (Argon2id o bcrypt).</t>
  </si>
  <si>
    <t xml:space="preserve">RNF-19</t>
  </si>
  <si>
    <t xml:space="preserve">No se debe almacenar la imagen de un usuario sin su consentimiento explícito; sin él solo se guarda su hash.</t>
  </si>
  <si>
    <t xml:space="preserve">10, 11</t>
  </si>
  <si>
    <t xml:space="preserve">RNF-20</t>
  </si>
  <si>
    <t xml:space="preserve">El tratamiento de datos personales debe ajustarse a la Ley 19.628 y a la Ley 21.719 (verificar su vigencia).</t>
  </si>
  <si>
    <t xml:space="preserve">10, 12</t>
  </si>
  <si>
    <t xml:space="preserve">RNF-21</t>
  </si>
  <si>
    <t xml:space="preserve">Debe existir limitación de tasa (rate limiting) por IP o sesión en /predict (valor a calibrar).</t>
  </si>
  <si>
    <t xml:space="preserve">RNF-22</t>
  </si>
  <si>
    <t xml:space="preserve">El frontend debe enviar cabeceras de seguridad (CSP, X-Content-Type-Options, HSTS).</t>
  </si>
  <si>
    <t xml:space="preserve">RNF-23</t>
  </si>
  <si>
    <t xml:space="preserve">El panel de administración requiere autenticación, control de acceso por rol y sesiones con expiración.</t>
  </si>
  <si>
    <t xml:space="preserve">07, 08</t>
  </si>
  <si>
    <t xml:space="preserve">RNF-24</t>
  </si>
  <si>
    <t xml:space="preserve">Las consultas deben ser parametrizadas y la salida escapada para prevenir inyección SQL y XSS.</t>
  </si>
  <si>
    <t xml:space="preserve">RNF-25</t>
  </si>
  <si>
    <t xml:space="preserve">El pipeline de CI debe auditar dependencias y no liberar con vulnerabilidades críticas conocidas.</t>
  </si>
  <si>
    <t xml:space="preserve">RNF-26</t>
  </si>
  <si>
    <t xml:space="preserve">Los datos de inferencias de más de 12 meses deben anonimizarse o eliminarse (plazo a confirmar).</t>
  </si>
  <si>
    <t xml:space="preserve">RNF · Usabilidad y accesibilidad</t>
  </si>
  <si>
    <t xml:space="preserve">RNF-04</t>
  </si>
  <si>
    <t xml:space="preserve">La interfaz debe estar íntegramente en español, con diseño mobile-first y tema oscuro consistente.</t>
  </si>
  <si>
    <t xml:space="preserve">RNF-05</t>
  </si>
  <si>
    <t xml:space="preserve">El flujo de escaneo debe completarse en 3 clics o menos desde abrir la pestaña hasta ver el resultado.</t>
  </si>
  <si>
    <t xml:space="preserve">RNF-31</t>
  </si>
  <si>
    <t xml:space="preserve">El texto debe tener un contraste mínimo de 4,5:1 (WCAG 2.1 AA), también en el tema oscuro.</t>
  </si>
  <si>
    <t xml:space="preserve">—</t>
  </si>
  <si>
    <t xml:space="preserve">RNF-32</t>
  </si>
  <si>
    <t xml:space="preserve">Todos los controles (pestañas, deslizadores, casillas, chips) deben operarse con teclado y tener etiquetas accesibles.</t>
  </si>
  <si>
    <t xml:space="preserve">RNF-33</t>
  </si>
  <si>
    <t xml:space="preserve">La interfaz debe ser usable desde 360 px de ancho, con objetivos táctiles de al menos 44 px.</t>
  </si>
  <si>
    <t xml:space="preserve">RNF-34</t>
  </si>
  <si>
    <t xml:space="preserve">Los mensajes de error deben estar en español claro, sin códigos técnicos.</t>
  </si>
  <si>
    <t xml:space="preserve">RNF-35</t>
  </si>
  <si>
    <t xml:space="preserve">Los textos de la interfaz deben reflejar lo que el sistema hace hoy (p. ej. no anunciar multirresiduo hasta implementarlo, B-1).</t>
  </si>
  <si>
    <t xml:space="preserve">RNF · Compatibilidad, portabilidad y mantenibilidad</t>
  </si>
  <si>
    <t xml:space="preserve">RNF-08</t>
  </si>
  <si>
    <t xml:space="preserve">La app debe funcionar en navegadores de escritorio y móviles basados en Chromium y WebKit, sin plugins.</t>
  </si>
  <si>
    <t xml:space="preserve">RNF-09</t>
  </si>
  <si>
    <t xml:space="preserve">El código (React 18 + Vite; FastAPI + Python) debe mantenerse documentado en la documentación técnica.</t>
  </si>
  <si>
    <t xml:space="preserve">RNF-11</t>
  </si>
  <si>
    <t xml:space="preserve">El backend debe poder ejecutarse en un contenedor Docker para su despliegue en la nube.</t>
  </si>
  <si>
    <t xml:space="preserve">RNF-36</t>
  </si>
  <si>
    <t xml:space="preserve">La cobertura de pruebas unitarias del backend debe ser ≥ 70 % (valor a confirmar).</t>
  </si>
  <si>
    <t xml:space="preserve">RNF-37</t>
  </si>
  <si>
    <t xml:space="preserve">Cada pull request debe ejecutar lint, pytest y el build del frontend en CI.</t>
  </si>
  <si>
    <t xml:space="preserve">RNF-38</t>
  </si>
  <si>
    <t xml:space="preserve">El servicio debe emitir logs estructurados (JSON) con el id de inferencia y sin datos personales.</t>
  </si>
  <si>
    <t xml:space="preserve">02, 14</t>
  </si>
  <si>
    <t xml:space="preserve">RNF-39</t>
  </si>
  <si>
    <t xml:space="preserve">Umbrales, límites y orígenes CORS deben configurarse por variables de entorno o parámetros, sin recompilar.</t>
  </si>
  <si>
    <t xml:space="preserve">RNF-12</t>
  </si>
  <si>
    <t xml:space="preserve">Cada inferencia debería registrar material, confianza y fecha para aportar evidencia alineada con la Ley REP 20.920.</t>
  </si>
  <si>
    <t xml:space="preserve">02, 12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</si>
</sst>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FEB9C"/>
      </patternFill>
    </fill>
    <fill>
      <patternFill patternType="solid">
        <fgColor rgb="FFFFC7CE"/>
        <bgColor rgb="FFFCE4D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F" displayName="RF" ref="A1:F61" headerRowCount="1" totalsRowCount="0" totalsRowShown="0">
  <autoFilter ref="A1:F61"/>
  <tableColumns count="6">
    <tableColumn id="1" name="Módulo / grupo"/>
    <tableColumn id="2" name="ID"/>
    <tableColumn id="3" name="Descripción"/>
    <tableColumn id="4" name="Prioridad"/>
    <tableColumn id="5" name="Estado"/>
    <tableColumn id="6" name="Proceso BPMN"/>
  </tableColumns>
</table>
</file>

<file path=xl/tables/table2.xml><?xml version="1.0" encoding="utf-8"?>
<table xmlns="http://schemas.openxmlformats.org/spreadsheetml/2006/main" id="2" name="RNF" displayName="RNF" ref="A1:F41" headerRowCount="1" totalsRowCount="0" totalsRowShown="0">
  <autoFilter ref="A1:F41"/>
  <tableColumns count="6">
    <tableColumn id="1" name="Módulo / grupo"/>
    <tableColumn id="2" name="ID"/>
    <tableColumn id="3" name="Descripción"/>
    <tableColumn id="4" name="Prioridad"/>
    <tableColumn id="5" name="Estado"/>
    <tableColumn id="6" name="Proceso BPM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f aca="false">COUNTIF('Requisitos funcionales'!$E:$E,"Implementado*")</f>
        <v>22</v>
      </c>
      <c r="C5" s="5" t="n">
        <f aca="false">COUNTIF('Requisitos funcionales'!$E:$E,"Parcial*")</f>
        <v>1</v>
      </c>
      <c r="D5" s="5" t="n">
        <f aca="false">COUNTIF('Requisitos funcionales'!$E:$E,"Pendiente*")</f>
        <v>1</v>
      </c>
      <c r="E5" s="5" t="n">
        <f aca="false">COUNTIF('Requisitos funcionales'!$E:$E,"A verificar*")</f>
        <v>2</v>
      </c>
      <c r="F5" s="5" t="n">
        <f aca="false">COUNTIF('Requisitos funcionales'!$E:$E,"A medir*")</f>
        <v>0</v>
      </c>
      <c r="G5" s="5" t="n">
        <f aca="false">COUNTIF('Requisitos funcionales'!$E:$E,"Propuesto*")</f>
        <v>34</v>
      </c>
      <c r="H5" s="5" t="n">
        <f aca="false">SUM(B5:G5)</f>
        <v>60</v>
      </c>
    </row>
    <row r="6" customFormat="false" ht="15" hidden="false" customHeight="false" outlineLevel="0" collapsed="false">
      <c r="A6" s="4" t="s">
        <v>11</v>
      </c>
      <c r="B6" s="5" t="n">
        <f aca="false">COUNTIF('Requisitos no funcionales'!$E:$E,"Implementado*")</f>
        <v>1</v>
      </c>
      <c r="C6" s="5" t="n">
        <f aca="false">COUNTIF('Requisitos no funcionales'!$E:$E,"Parcial*")</f>
        <v>3</v>
      </c>
      <c r="D6" s="5" t="n">
        <f aca="false">COUNTIF('Requisitos no funcionales'!$E:$E,"Pendiente*")</f>
        <v>1</v>
      </c>
      <c r="E6" s="5" t="n">
        <f aca="false">COUNTIF('Requisitos no funcionales'!$E:$E,"A verificar*")</f>
        <v>3</v>
      </c>
      <c r="F6" s="5" t="n">
        <f aca="false">COUNTIF('Requisitos no funcionales'!$E:$E,"A medir*")</f>
        <v>2</v>
      </c>
      <c r="G6" s="5" t="n">
        <f aca="false">COUNTIF('Requisitos no funcionales'!$E:$E,"Propuesto*")</f>
        <v>30</v>
      </c>
      <c r="H6" s="5" t="n">
        <f aca="false">SUM(B6:G6)</f>
        <v>40</v>
      </c>
    </row>
    <row r="7" customFormat="false" ht="15" hidden="false" customHeight="false" outlineLevel="0" collapsed="false">
      <c r="A7" s="4" t="s">
        <v>9</v>
      </c>
      <c r="B7" s="5" t="n">
        <f aca="false">SUM(B5:B6)</f>
        <v>23</v>
      </c>
      <c r="C7" s="5" t="n">
        <f aca="false">SUM(C5:C6)</f>
        <v>4</v>
      </c>
      <c r="D7" s="5" t="n">
        <f aca="false">SUM(D5:D6)</f>
        <v>2</v>
      </c>
      <c r="E7" s="5" t="n">
        <f aca="false">SUM(E5:E6)</f>
        <v>5</v>
      </c>
      <c r="F7" s="5" t="n">
        <f aca="false">SUM(F5:F6)</f>
        <v>2</v>
      </c>
      <c r="G7" s="5" t="n">
        <f aca="false">SUM(G5:G6)</f>
        <v>64</v>
      </c>
      <c r="H7" s="5" t="n">
        <f aca="false">SUM(H5:H6)</f>
        <v>100</v>
      </c>
    </row>
    <row r="8" customFormat="false" ht="15" hidden="false" customHeight="false" outlineLevel="0" collapsed="false"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7" t="s">
        <v>12</v>
      </c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B10" s="8" t="s">
        <v>13</v>
      </c>
      <c r="C10" s="8" t="s">
        <v>14</v>
      </c>
      <c r="D10" s="8" t="s">
        <v>15</v>
      </c>
      <c r="E10" s="6"/>
      <c r="F10" s="6"/>
      <c r="G10" s="6"/>
      <c r="H10" s="6"/>
    </row>
    <row r="11" customFormat="false" ht="15" hidden="false" customHeight="false" outlineLevel="0" collapsed="false">
      <c r="A11" s="4" t="s">
        <v>10</v>
      </c>
      <c r="B11" s="5" t="n">
        <f aca="false">COUNTIF('Requisitos funcionales'!$D:$D,"Alta")</f>
        <v>22</v>
      </c>
      <c r="C11" s="5" t="n">
        <f aca="false">COUNTIF('Requisitos funcionales'!$D:$D,"Media")</f>
        <v>25</v>
      </c>
      <c r="D11" s="5" t="n">
        <f aca="false">COUNTIF('Requisitos funcionales'!$D:$D,"Baja")</f>
        <v>13</v>
      </c>
      <c r="E11" s="6"/>
      <c r="F11" s="6"/>
      <c r="G11" s="6"/>
      <c r="H11" s="6"/>
    </row>
    <row r="12" customFormat="false" ht="15" hidden="false" customHeight="false" outlineLevel="0" collapsed="false">
      <c r="A12" s="4" t="s">
        <v>11</v>
      </c>
      <c r="B12" s="5" t="n">
        <f aca="false">COUNTIF('Requisitos no funcionales'!$D:$D,"Alta")</f>
        <v>14</v>
      </c>
      <c r="C12" s="5" t="n">
        <f aca="false">COUNTIF('Requisitos no funcionales'!$D:$D,"Media")</f>
        <v>25</v>
      </c>
      <c r="D12" s="5" t="n">
        <f aca="false">COUNTIF('Requisitos no funcionales'!$D:$D,"Baja")</f>
        <v>1</v>
      </c>
      <c r="E12" s="6"/>
      <c r="F12" s="6"/>
      <c r="G12" s="6"/>
      <c r="H12" s="6"/>
    </row>
    <row r="14" customFormat="false" ht="15" hidden="false" customHeight="false" outlineLevel="0" collapsed="false">
      <c r="A14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3"/>
  </cols>
  <sheetData>
    <row r="1" customFormat="false" ht="30" hidden="false" customHeight="true" outlineLevel="0" collapsed="false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</row>
    <row r="2" customFormat="false" ht="15" hidden="false" customHeight="false" outlineLevel="0" collapsed="false">
      <c r="A2" s="10" t="s">
        <v>23</v>
      </c>
      <c r="B2" s="10" t="s">
        <v>24</v>
      </c>
      <c r="C2" s="10" t="s">
        <v>25</v>
      </c>
      <c r="D2" s="10" t="s">
        <v>13</v>
      </c>
      <c r="E2" s="11" t="s">
        <v>3</v>
      </c>
      <c r="F2" s="10" t="s">
        <v>26</v>
      </c>
    </row>
    <row r="3" customFormat="false" ht="15" hidden="false" customHeight="false" outlineLevel="0" collapsed="false">
      <c r="A3" s="10" t="s">
        <v>23</v>
      </c>
      <c r="B3" s="10" t="s">
        <v>27</v>
      </c>
      <c r="C3" s="10" t="s">
        <v>28</v>
      </c>
      <c r="D3" s="10" t="s">
        <v>13</v>
      </c>
      <c r="E3" s="11" t="s">
        <v>3</v>
      </c>
      <c r="F3" s="10" t="s">
        <v>26</v>
      </c>
    </row>
    <row r="4" customFormat="false" ht="23.85" hidden="false" customHeight="false" outlineLevel="0" collapsed="false">
      <c r="A4" s="10" t="s">
        <v>23</v>
      </c>
      <c r="B4" s="10" t="s">
        <v>29</v>
      </c>
      <c r="C4" s="10" t="s">
        <v>30</v>
      </c>
      <c r="D4" s="10" t="s">
        <v>13</v>
      </c>
      <c r="E4" s="11" t="s">
        <v>3</v>
      </c>
      <c r="F4" s="10" t="s">
        <v>31</v>
      </c>
    </row>
    <row r="5" customFormat="false" ht="23.85" hidden="false" customHeight="false" outlineLevel="0" collapsed="false">
      <c r="A5" s="10" t="s">
        <v>23</v>
      </c>
      <c r="B5" s="10" t="s">
        <v>32</v>
      </c>
      <c r="C5" s="10" t="s">
        <v>33</v>
      </c>
      <c r="D5" s="10" t="s">
        <v>13</v>
      </c>
      <c r="E5" s="12" t="s">
        <v>34</v>
      </c>
      <c r="F5" s="10" t="s">
        <v>35</v>
      </c>
    </row>
    <row r="6" customFormat="false" ht="23.85" hidden="false" customHeight="false" outlineLevel="0" collapsed="false">
      <c r="A6" s="10" t="s">
        <v>23</v>
      </c>
      <c r="B6" s="10" t="s">
        <v>36</v>
      </c>
      <c r="C6" s="10" t="s">
        <v>37</v>
      </c>
      <c r="D6" s="10" t="s">
        <v>13</v>
      </c>
      <c r="E6" s="13" t="s">
        <v>6</v>
      </c>
      <c r="F6" s="10" t="s">
        <v>35</v>
      </c>
    </row>
    <row r="7" customFormat="false" ht="15" hidden="false" customHeight="false" outlineLevel="0" collapsed="false">
      <c r="A7" s="10" t="s">
        <v>23</v>
      </c>
      <c r="B7" s="10" t="s">
        <v>38</v>
      </c>
      <c r="C7" s="10" t="s">
        <v>39</v>
      </c>
      <c r="D7" s="10" t="s">
        <v>13</v>
      </c>
      <c r="E7" s="13" t="s">
        <v>6</v>
      </c>
      <c r="F7" s="10" t="s">
        <v>35</v>
      </c>
    </row>
    <row r="8" customFormat="false" ht="15" hidden="false" customHeight="false" outlineLevel="0" collapsed="false">
      <c r="A8" s="10" t="s">
        <v>23</v>
      </c>
      <c r="B8" s="10" t="s">
        <v>40</v>
      </c>
      <c r="C8" s="10" t="s">
        <v>41</v>
      </c>
      <c r="D8" s="10" t="s">
        <v>13</v>
      </c>
      <c r="E8" s="11" t="s">
        <v>3</v>
      </c>
      <c r="F8" s="10" t="s">
        <v>31</v>
      </c>
    </row>
    <row r="9" customFormat="false" ht="15" hidden="false" customHeight="false" outlineLevel="0" collapsed="false">
      <c r="A9" s="10" t="s">
        <v>23</v>
      </c>
      <c r="B9" s="10" t="s">
        <v>42</v>
      </c>
      <c r="C9" s="10" t="s">
        <v>43</v>
      </c>
      <c r="D9" s="10" t="s">
        <v>13</v>
      </c>
      <c r="E9" s="11" t="s">
        <v>3</v>
      </c>
      <c r="F9" s="10" t="s">
        <v>26</v>
      </c>
    </row>
    <row r="10" customFormat="false" ht="23.85" hidden="false" customHeight="false" outlineLevel="0" collapsed="false">
      <c r="A10" s="10" t="s">
        <v>23</v>
      </c>
      <c r="B10" s="10" t="s">
        <v>44</v>
      </c>
      <c r="C10" s="10" t="s">
        <v>45</v>
      </c>
      <c r="D10" s="10" t="s">
        <v>14</v>
      </c>
      <c r="E10" s="11" t="s">
        <v>3</v>
      </c>
      <c r="F10" s="10" t="s">
        <v>46</v>
      </c>
    </row>
    <row r="11" customFormat="false" ht="15" hidden="false" customHeight="false" outlineLevel="0" collapsed="false">
      <c r="A11" s="10" t="s">
        <v>23</v>
      </c>
      <c r="B11" s="10" t="s">
        <v>47</v>
      </c>
      <c r="C11" s="10" t="s">
        <v>48</v>
      </c>
      <c r="D11" s="10" t="s">
        <v>14</v>
      </c>
      <c r="E11" s="11" t="s">
        <v>3</v>
      </c>
      <c r="F11" s="10" t="s">
        <v>26</v>
      </c>
    </row>
    <row r="12" customFormat="false" ht="15" hidden="false" customHeight="false" outlineLevel="0" collapsed="false">
      <c r="A12" s="10" t="s">
        <v>23</v>
      </c>
      <c r="B12" s="10" t="s">
        <v>49</v>
      </c>
      <c r="C12" s="10" t="s">
        <v>50</v>
      </c>
      <c r="D12" s="10" t="s">
        <v>15</v>
      </c>
      <c r="E12" s="11" t="s">
        <v>3</v>
      </c>
      <c r="F12" s="10" t="s">
        <v>26</v>
      </c>
    </row>
    <row r="13" customFormat="false" ht="23.85" hidden="false" customHeight="false" outlineLevel="0" collapsed="false">
      <c r="A13" s="10" t="s">
        <v>23</v>
      </c>
      <c r="B13" s="10" t="s">
        <v>51</v>
      </c>
      <c r="C13" s="10" t="s">
        <v>52</v>
      </c>
      <c r="D13" s="10" t="s">
        <v>14</v>
      </c>
      <c r="E13" s="14" t="s">
        <v>53</v>
      </c>
      <c r="F13" s="10" t="s">
        <v>54</v>
      </c>
    </row>
    <row r="14" customFormat="false" ht="23.85" hidden="false" customHeight="false" outlineLevel="0" collapsed="false">
      <c r="A14" s="10" t="s">
        <v>23</v>
      </c>
      <c r="B14" s="10" t="s">
        <v>55</v>
      </c>
      <c r="C14" s="10" t="s">
        <v>56</v>
      </c>
      <c r="D14" s="10" t="s">
        <v>13</v>
      </c>
      <c r="E14" s="15" t="s">
        <v>8</v>
      </c>
      <c r="F14" s="10" t="s">
        <v>31</v>
      </c>
    </row>
    <row r="15" customFormat="false" ht="15" hidden="false" customHeight="false" outlineLevel="0" collapsed="false">
      <c r="A15" s="10" t="s">
        <v>23</v>
      </c>
      <c r="B15" s="10" t="s">
        <v>57</v>
      </c>
      <c r="C15" s="10" t="s">
        <v>58</v>
      </c>
      <c r="D15" s="10" t="s">
        <v>14</v>
      </c>
      <c r="E15" s="15" t="s">
        <v>8</v>
      </c>
      <c r="F15" s="10" t="s">
        <v>26</v>
      </c>
    </row>
    <row r="16" customFormat="false" ht="15" hidden="false" customHeight="false" outlineLevel="0" collapsed="false">
      <c r="A16" s="10" t="s">
        <v>23</v>
      </c>
      <c r="B16" s="10" t="s">
        <v>59</v>
      </c>
      <c r="C16" s="10" t="s">
        <v>60</v>
      </c>
      <c r="D16" s="10" t="s">
        <v>14</v>
      </c>
      <c r="E16" s="15" t="s">
        <v>8</v>
      </c>
      <c r="F16" s="10" t="s">
        <v>26</v>
      </c>
    </row>
    <row r="17" customFormat="false" ht="15" hidden="false" customHeight="false" outlineLevel="0" collapsed="false">
      <c r="A17" s="10" t="s">
        <v>23</v>
      </c>
      <c r="B17" s="10" t="s">
        <v>61</v>
      </c>
      <c r="C17" s="10" t="s">
        <v>62</v>
      </c>
      <c r="D17" s="10" t="s">
        <v>13</v>
      </c>
      <c r="E17" s="15" t="s">
        <v>8</v>
      </c>
      <c r="F17" s="10" t="s">
        <v>26</v>
      </c>
    </row>
    <row r="18" customFormat="false" ht="15" hidden="false" customHeight="false" outlineLevel="0" collapsed="false">
      <c r="A18" s="10" t="s">
        <v>23</v>
      </c>
      <c r="B18" s="10" t="s">
        <v>63</v>
      </c>
      <c r="C18" s="10" t="s">
        <v>64</v>
      </c>
      <c r="D18" s="10" t="s">
        <v>14</v>
      </c>
      <c r="E18" s="15" t="s">
        <v>8</v>
      </c>
      <c r="F18" s="10" t="s">
        <v>31</v>
      </c>
    </row>
    <row r="19" customFormat="false" ht="23.85" hidden="false" customHeight="false" outlineLevel="0" collapsed="false">
      <c r="A19" s="10" t="s">
        <v>23</v>
      </c>
      <c r="B19" s="10" t="s">
        <v>65</v>
      </c>
      <c r="C19" s="10" t="s">
        <v>66</v>
      </c>
      <c r="D19" s="10" t="s">
        <v>13</v>
      </c>
      <c r="E19" s="15" t="s">
        <v>8</v>
      </c>
      <c r="F19" s="10" t="s">
        <v>67</v>
      </c>
    </row>
    <row r="20" customFormat="false" ht="15" hidden="false" customHeight="false" outlineLevel="0" collapsed="false">
      <c r="A20" s="10" t="s">
        <v>23</v>
      </c>
      <c r="B20" s="10" t="s">
        <v>68</v>
      </c>
      <c r="C20" s="10" t="s">
        <v>69</v>
      </c>
      <c r="D20" s="10" t="s">
        <v>14</v>
      </c>
      <c r="E20" s="15" t="s">
        <v>8</v>
      </c>
      <c r="F20" s="10" t="s">
        <v>70</v>
      </c>
    </row>
    <row r="21" customFormat="false" ht="15" hidden="false" customHeight="false" outlineLevel="0" collapsed="false">
      <c r="A21" s="10" t="s">
        <v>23</v>
      </c>
      <c r="B21" s="10" t="s">
        <v>71</v>
      </c>
      <c r="C21" s="10" t="s">
        <v>72</v>
      </c>
      <c r="D21" s="10" t="s">
        <v>15</v>
      </c>
      <c r="E21" s="15" t="s">
        <v>8</v>
      </c>
      <c r="F21" s="10" t="s">
        <v>35</v>
      </c>
    </row>
    <row r="22" customFormat="false" ht="15" hidden="false" customHeight="false" outlineLevel="0" collapsed="false">
      <c r="A22" s="10" t="s">
        <v>23</v>
      </c>
      <c r="B22" s="10" t="s">
        <v>73</v>
      </c>
      <c r="C22" s="10" t="s">
        <v>74</v>
      </c>
      <c r="D22" s="10" t="s">
        <v>15</v>
      </c>
      <c r="E22" s="15" t="s">
        <v>8</v>
      </c>
      <c r="F22" s="10" t="s">
        <v>26</v>
      </c>
    </row>
    <row r="23" customFormat="false" ht="15" hidden="false" customHeight="false" outlineLevel="0" collapsed="false">
      <c r="A23" s="10" t="s">
        <v>23</v>
      </c>
      <c r="B23" s="10" t="s">
        <v>75</v>
      </c>
      <c r="C23" s="10" t="s">
        <v>76</v>
      </c>
      <c r="D23" s="10" t="s">
        <v>15</v>
      </c>
      <c r="E23" s="15" t="s">
        <v>8</v>
      </c>
      <c r="F23" s="10" t="s">
        <v>77</v>
      </c>
    </row>
    <row r="24" customFormat="false" ht="23.85" hidden="false" customHeight="false" outlineLevel="0" collapsed="false">
      <c r="A24" s="10" t="s">
        <v>23</v>
      </c>
      <c r="B24" s="10" t="s">
        <v>78</v>
      </c>
      <c r="C24" s="10" t="s">
        <v>79</v>
      </c>
      <c r="D24" s="10" t="s">
        <v>14</v>
      </c>
      <c r="E24" s="15" t="s">
        <v>8</v>
      </c>
      <c r="F24" s="10" t="s">
        <v>80</v>
      </c>
    </row>
    <row r="25" customFormat="false" ht="15" hidden="false" customHeight="false" outlineLevel="0" collapsed="false">
      <c r="A25" s="10" t="s">
        <v>81</v>
      </c>
      <c r="B25" s="10" t="s">
        <v>82</v>
      </c>
      <c r="C25" s="10" t="s">
        <v>83</v>
      </c>
      <c r="D25" s="10" t="s">
        <v>13</v>
      </c>
      <c r="E25" s="11" t="s">
        <v>3</v>
      </c>
      <c r="F25" s="10" t="s">
        <v>84</v>
      </c>
    </row>
    <row r="26" customFormat="false" ht="15" hidden="false" customHeight="false" outlineLevel="0" collapsed="false">
      <c r="A26" s="10" t="s">
        <v>81</v>
      </c>
      <c r="B26" s="10" t="s">
        <v>85</v>
      </c>
      <c r="C26" s="10" t="s">
        <v>86</v>
      </c>
      <c r="D26" s="10" t="s">
        <v>13</v>
      </c>
      <c r="E26" s="11" t="s">
        <v>3</v>
      </c>
      <c r="F26" s="10" t="s">
        <v>84</v>
      </c>
    </row>
    <row r="27" customFormat="false" ht="15" hidden="false" customHeight="false" outlineLevel="0" collapsed="false">
      <c r="A27" s="10" t="s">
        <v>81</v>
      </c>
      <c r="B27" s="10" t="s">
        <v>87</v>
      </c>
      <c r="C27" s="10" t="s">
        <v>88</v>
      </c>
      <c r="D27" s="10" t="s">
        <v>14</v>
      </c>
      <c r="E27" s="11" t="s">
        <v>3</v>
      </c>
      <c r="F27" s="10" t="s">
        <v>84</v>
      </c>
    </row>
    <row r="28" customFormat="false" ht="15" hidden="false" customHeight="false" outlineLevel="0" collapsed="false">
      <c r="A28" s="10" t="s">
        <v>81</v>
      </c>
      <c r="B28" s="10" t="s">
        <v>89</v>
      </c>
      <c r="C28" s="10" t="s">
        <v>90</v>
      </c>
      <c r="D28" s="10" t="s">
        <v>14</v>
      </c>
      <c r="E28" s="15" t="s">
        <v>8</v>
      </c>
      <c r="F28" s="10" t="s">
        <v>84</v>
      </c>
    </row>
    <row r="29" customFormat="false" ht="15" hidden="false" customHeight="false" outlineLevel="0" collapsed="false">
      <c r="A29" s="10" t="s">
        <v>81</v>
      </c>
      <c r="B29" s="10" t="s">
        <v>91</v>
      </c>
      <c r="C29" s="10" t="s">
        <v>92</v>
      </c>
      <c r="D29" s="10" t="s">
        <v>15</v>
      </c>
      <c r="E29" s="15" t="s">
        <v>8</v>
      </c>
      <c r="F29" s="10" t="s">
        <v>84</v>
      </c>
    </row>
    <row r="30" customFormat="false" ht="15" hidden="false" customHeight="false" outlineLevel="0" collapsed="false">
      <c r="A30" s="10" t="s">
        <v>81</v>
      </c>
      <c r="B30" s="10" t="s">
        <v>93</v>
      </c>
      <c r="C30" s="10" t="s">
        <v>94</v>
      </c>
      <c r="D30" s="10" t="s">
        <v>14</v>
      </c>
      <c r="E30" s="15" t="s">
        <v>8</v>
      </c>
      <c r="F30" s="10" t="s">
        <v>95</v>
      </c>
    </row>
    <row r="31" customFormat="false" ht="15" hidden="false" customHeight="false" outlineLevel="0" collapsed="false">
      <c r="A31" s="10" t="s">
        <v>81</v>
      </c>
      <c r="B31" s="10" t="s">
        <v>96</v>
      </c>
      <c r="C31" s="10" t="s">
        <v>97</v>
      </c>
      <c r="D31" s="10" t="s">
        <v>14</v>
      </c>
      <c r="E31" s="15" t="s">
        <v>8</v>
      </c>
      <c r="F31" s="10" t="s">
        <v>84</v>
      </c>
    </row>
    <row r="32" customFormat="false" ht="15" hidden="false" customHeight="false" outlineLevel="0" collapsed="false">
      <c r="A32" s="10" t="s">
        <v>81</v>
      </c>
      <c r="B32" s="10" t="s">
        <v>98</v>
      </c>
      <c r="C32" s="10" t="s">
        <v>99</v>
      </c>
      <c r="D32" s="10" t="s">
        <v>14</v>
      </c>
      <c r="E32" s="15" t="s">
        <v>8</v>
      </c>
      <c r="F32" s="10" t="s">
        <v>100</v>
      </c>
    </row>
    <row r="33" customFormat="false" ht="15" hidden="false" customHeight="false" outlineLevel="0" collapsed="false">
      <c r="A33" s="10" t="s">
        <v>81</v>
      </c>
      <c r="B33" s="10" t="s">
        <v>101</v>
      </c>
      <c r="C33" s="10" t="s">
        <v>102</v>
      </c>
      <c r="D33" s="10" t="s">
        <v>15</v>
      </c>
      <c r="E33" s="15" t="s">
        <v>8</v>
      </c>
      <c r="F33" s="10" t="s">
        <v>84</v>
      </c>
    </row>
    <row r="34" customFormat="false" ht="15" hidden="false" customHeight="false" outlineLevel="0" collapsed="false">
      <c r="A34" s="10" t="s">
        <v>81</v>
      </c>
      <c r="B34" s="10" t="s">
        <v>103</v>
      </c>
      <c r="C34" s="10" t="s">
        <v>104</v>
      </c>
      <c r="D34" s="10" t="s">
        <v>14</v>
      </c>
      <c r="E34" s="15" t="s">
        <v>8</v>
      </c>
      <c r="F34" s="10" t="s">
        <v>84</v>
      </c>
    </row>
    <row r="35" customFormat="false" ht="15" hidden="false" customHeight="false" outlineLevel="0" collapsed="false">
      <c r="A35" s="10" t="s">
        <v>105</v>
      </c>
      <c r="B35" s="10" t="s">
        <v>106</v>
      </c>
      <c r="C35" s="10" t="s">
        <v>107</v>
      </c>
      <c r="D35" s="10" t="s">
        <v>13</v>
      </c>
      <c r="E35" s="11" t="s">
        <v>3</v>
      </c>
      <c r="F35" s="10" t="s">
        <v>108</v>
      </c>
    </row>
    <row r="36" customFormat="false" ht="15" hidden="false" customHeight="false" outlineLevel="0" collapsed="false">
      <c r="A36" s="10" t="s">
        <v>105</v>
      </c>
      <c r="B36" s="10" t="s">
        <v>109</v>
      </c>
      <c r="C36" s="10" t="s">
        <v>110</v>
      </c>
      <c r="D36" s="10" t="s">
        <v>13</v>
      </c>
      <c r="E36" s="11" t="s">
        <v>3</v>
      </c>
      <c r="F36" s="10" t="s">
        <v>108</v>
      </c>
    </row>
    <row r="37" customFormat="false" ht="15" hidden="false" customHeight="false" outlineLevel="0" collapsed="false">
      <c r="A37" s="10" t="s">
        <v>105</v>
      </c>
      <c r="B37" s="10" t="s">
        <v>111</v>
      </c>
      <c r="C37" s="10" t="s">
        <v>112</v>
      </c>
      <c r="D37" s="10" t="s">
        <v>14</v>
      </c>
      <c r="E37" s="11" t="s">
        <v>3</v>
      </c>
      <c r="F37" s="10" t="s">
        <v>108</v>
      </c>
    </row>
    <row r="38" customFormat="false" ht="15" hidden="false" customHeight="false" outlineLevel="0" collapsed="false">
      <c r="A38" s="10" t="s">
        <v>105</v>
      </c>
      <c r="B38" s="10" t="s">
        <v>113</v>
      </c>
      <c r="C38" s="10" t="s">
        <v>114</v>
      </c>
      <c r="D38" s="10" t="s">
        <v>15</v>
      </c>
      <c r="E38" s="11" t="s">
        <v>3</v>
      </c>
      <c r="F38" s="10" t="s">
        <v>108</v>
      </c>
    </row>
    <row r="39" customFormat="false" ht="15" hidden="false" customHeight="false" outlineLevel="0" collapsed="false">
      <c r="A39" s="10" t="s">
        <v>105</v>
      </c>
      <c r="B39" s="10" t="s">
        <v>115</v>
      </c>
      <c r="C39" s="10" t="s">
        <v>116</v>
      </c>
      <c r="D39" s="10" t="s">
        <v>14</v>
      </c>
      <c r="E39" s="11" t="s">
        <v>3</v>
      </c>
      <c r="F39" s="10" t="s">
        <v>108</v>
      </c>
    </row>
    <row r="40" customFormat="false" ht="15" hidden="false" customHeight="false" outlineLevel="0" collapsed="false">
      <c r="A40" s="10" t="s">
        <v>105</v>
      </c>
      <c r="B40" s="10" t="s">
        <v>117</v>
      </c>
      <c r="C40" s="10" t="s">
        <v>118</v>
      </c>
      <c r="D40" s="10" t="s">
        <v>14</v>
      </c>
      <c r="E40" s="15" t="s">
        <v>8</v>
      </c>
      <c r="F40" s="10" t="s">
        <v>108</v>
      </c>
    </row>
    <row r="41" customFormat="false" ht="15" hidden="false" customHeight="false" outlineLevel="0" collapsed="false">
      <c r="A41" s="10" t="s">
        <v>105</v>
      </c>
      <c r="B41" s="10" t="s">
        <v>119</v>
      </c>
      <c r="C41" s="10" t="s">
        <v>120</v>
      </c>
      <c r="D41" s="10" t="s">
        <v>14</v>
      </c>
      <c r="E41" s="15" t="s">
        <v>8</v>
      </c>
      <c r="F41" s="10" t="s">
        <v>108</v>
      </c>
    </row>
    <row r="42" customFormat="false" ht="15" hidden="false" customHeight="false" outlineLevel="0" collapsed="false">
      <c r="A42" s="10" t="s">
        <v>105</v>
      </c>
      <c r="B42" s="10" t="s">
        <v>121</v>
      </c>
      <c r="C42" s="10" t="s">
        <v>122</v>
      </c>
      <c r="D42" s="10" t="s">
        <v>15</v>
      </c>
      <c r="E42" s="15" t="s">
        <v>8</v>
      </c>
      <c r="F42" s="10" t="s">
        <v>108</v>
      </c>
    </row>
    <row r="43" customFormat="false" ht="15" hidden="false" customHeight="false" outlineLevel="0" collapsed="false">
      <c r="A43" s="10" t="s">
        <v>105</v>
      </c>
      <c r="B43" s="10" t="s">
        <v>123</v>
      </c>
      <c r="C43" s="10" t="s">
        <v>124</v>
      </c>
      <c r="D43" s="10" t="s">
        <v>15</v>
      </c>
      <c r="E43" s="15" t="s">
        <v>8</v>
      </c>
      <c r="F43" s="10" t="s">
        <v>108</v>
      </c>
    </row>
    <row r="44" customFormat="false" ht="15" hidden="false" customHeight="false" outlineLevel="0" collapsed="false">
      <c r="A44" s="10" t="s">
        <v>105</v>
      </c>
      <c r="B44" s="10" t="s">
        <v>125</v>
      </c>
      <c r="C44" s="10" t="s">
        <v>126</v>
      </c>
      <c r="D44" s="10" t="s">
        <v>15</v>
      </c>
      <c r="E44" s="15" t="s">
        <v>8</v>
      </c>
      <c r="F44" s="10" t="s">
        <v>108</v>
      </c>
    </row>
    <row r="45" customFormat="false" ht="15" hidden="false" customHeight="false" outlineLevel="0" collapsed="false">
      <c r="A45" s="10" t="s">
        <v>127</v>
      </c>
      <c r="B45" s="10" t="s">
        <v>128</v>
      </c>
      <c r="C45" s="10" t="s">
        <v>129</v>
      </c>
      <c r="D45" s="10" t="s">
        <v>13</v>
      </c>
      <c r="E45" s="11" t="s">
        <v>3</v>
      </c>
      <c r="F45" s="10" t="s">
        <v>130</v>
      </c>
    </row>
    <row r="46" customFormat="false" ht="15" hidden="false" customHeight="false" outlineLevel="0" collapsed="false">
      <c r="A46" s="10" t="s">
        <v>127</v>
      </c>
      <c r="B46" s="10" t="s">
        <v>131</v>
      </c>
      <c r="C46" s="10" t="s">
        <v>132</v>
      </c>
      <c r="D46" s="10" t="s">
        <v>13</v>
      </c>
      <c r="E46" s="11" t="s">
        <v>3</v>
      </c>
      <c r="F46" s="10" t="s">
        <v>130</v>
      </c>
    </row>
    <row r="47" customFormat="false" ht="15" hidden="false" customHeight="false" outlineLevel="0" collapsed="false">
      <c r="A47" s="10" t="s">
        <v>127</v>
      </c>
      <c r="B47" s="10" t="s">
        <v>133</v>
      </c>
      <c r="C47" s="10" t="s">
        <v>134</v>
      </c>
      <c r="D47" s="10" t="s">
        <v>13</v>
      </c>
      <c r="E47" s="11" t="s">
        <v>3</v>
      </c>
      <c r="F47" s="10" t="s">
        <v>130</v>
      </c>
    </row>
    <row r="48" customFormat="false" ht="15" hidden="false" customHeight="false" outlineLevel="0" collapsed="false">
      <c r="A48" s="10" t="s">
        <v>127</v>
      </c>
      <c r="B48" s="10" t="s">
        <v>135</v>
      </c>
      <c r="C48" s="10" t="s">
        <v>136</v>
      </c>
      <c r="D48" s="10" t="s">
        <v>14</v>
      </c>
      <c r="E48" s="11" t="s">
        <v>3</v>
      </c>
      <c r="F48" s="10" t="s">
        <v>130</v>
      </c>
    </row>
    <row r="49" customFormat="false" ht="15" hidden="false" customHeight="false" outlineLevel="0" collapsed="false">
      <c r="A49" s="10" t="s">
        <v>127</v>
      </c>
      <c r="B49" s="10" t="s">
        <v>137</v>
      </c>
      <c r="C49" s="10" t="s">
        <v>138</v>
      </c>
      <c r="D49" s="10" t="s">
        <v>13</v>
      </c>
      <c r="E49" s="15" t="s">
        <v>139</v>
      </c>
      <c r="F49" s="10" t="s">
        <v>140</v>
      </c>
    </row>
    <row r="50" customFormat="false" ht="15" hidden="false" customHeight="false" outlineLevel="0" collapsed="false">
      <c r="A50" s="10" t="s">
        <v>127</v>
      </c>
      <c r="B50" s="10" t="s">
        <v>141</v>
      </c>
      <c r="C50" s="10" t="s">
        <v>142</v>
      </c>
      <c r="D50" s="10" t="s">
        <v>15</v>
      </c>
      <c r="E50" s="15" t="s">
        <v>8</v>
      </c>
      <c r="F50" s="10" t="s">
        <v>130</v>
      </c>
    </row>
    <row r="51" customFormat="false" ht="15" hidden="false" customHeight="false" outlineLevel="0" collapsed="false">
      <c r="A51" s="10" t="s">
        <v>127</v>
      </c>
      <c r="B51" s="10" t="s">
        <v>143</v>
      </c>
      <c r="C51" s="10" t="s">
        <v>144</v>
      </c>
      <c r="D51" s="10" t="s">
        <v>14</v>
      </c>
      <c r="E51" s="15" t="s">
        <v>8</v>
      </c>
      <c r="F51" s="10" t="s">
        <v>130</v>
      </c>
    </row>
    <row r="52" customFormat="false" ht="15" hidden="false" customHeight="false" outlineLevel="0" collapsed="false">
      <c r="A52" s="10" t="s">
        <v>127</v>
      </c>
      <c r="B52" s="10" t="s">
        <v>145</v>
      </c>
      <c r="C52" s="10" t="s">
        <v>146</v>
      </c>
      <c r="D52" s="10" t="s">
        <v>15</v>
      </c>
      <c r="E52" s="15" t="s">
        <v>8</v>
      </c>
      <c r="F52" s="10" t="s">
        <v>130</v>
      </c>
    </row>
    <row r="53" customFormat="false" ht="15" hidden="false" customHeight="false" outlineLevel="0" collapsed="false">
      <c r="A53" s="10" t="s">
        <v>127</v>
      </c>
      <c r="B53" s="10" t="s">
        <v>147</v>
      </c>
      <c r="C53" s="10" t="s">
        <v>148</v>
      </c>
      <c r="D53" s="10" t="s">
        <v>15</v>
      </c>
      <c r="E53" s="15" t="s">
        <v>8</v>
      </c>
      <c r="F53" s="10" t="s">
        <v>130</v>
      </c>
    </row>
    <row r="54" customFormat="false" ht="15" hidden="false" customHeight="false" outlineLevel="0" collapsed="false">
      <c r="A54" s="10" t="s">
        <v>127</v>
      </c>
      <c r="B54" s="10" t="s">
        <v>149</v>
      </c>
      <c r="C54" s="10" t="s">
        <v>150</v>
      </c>
      <c r="D54" s="10" t="s">
        <v>14</v>
      </c>
      <c r="E54" s="15" t="s">
        <v>8</v>
      </c>
      <c r="F54" s="10" t="s">
        <v>151</v>
      </c>
    </row>
    <row r="55" customFormat="false" ht="23.85" hidden="false" customHeight="false" outlineLevel="0" collapsed="false">
      <c r="A55" s="10" t="s">
        <v>152</v>
      </c>
      <c r="B55" s="10" t="s">
        <v>153</v>
      </c>
      <c r="C55" s="10" t="s">
        <v>154</v>
      </c>
      <c r="D55" s="10" t="s">
        <v>13</v>
      </c>
      <c r="E55" s="11" t="s">
        <v>3</v>
      </c>
      <c r="F55" s="10" t="s">
        <v>26</v>
      </c>
    </row>
    <row r="56" customFormat="false" ht="23.85" hidden="false" customHeight="false" outlineLevel="0" collapsed="false">
      <c r="A56" s="10" t="s">
        <v>152</v>
      </c>
      <c r="B56" s="10" t="s">
        <v>155</v>
      </c>
      <c r="C56" s="10" t="s">
        <v>156</v>
      </c>
      <c r="D56" s="10" t="s">
        <v>13</v>
      </c>
      <c r="E56" s="11" t="s">
        <v>3</v>
      </c>
      <c r="F56" s="10" t="s">
        <v>77</v>
      </c>
    </row>
    <row r="57" customFormat="false" ht="23.85" hidden="false" customHeight="false" outlineLevel="0" collapsed="false">
      <c r="A57" s="10" t="s">
        <v>152</v>
      </c>
      <c r="B57" s="10" t="s">
        <v>157</v>
      </c>
      <c r="C57" s="10" t="s">
        <v>158</v>
      </c>
      <c r="D57" s="10" t="s">
        <v>13</v>
      </c>
      <c r="E57" s="15" t="s">
        <v>8</v>
      </c>
      <c r="F57" s="10" t="s">
        <v>159</v>
      </c>
    </row>
    <row r="58" customFormat="false" ht="23.85" hidden="false" customHeight="false" outlineLevel="0" collapsed="false">
      <c r="A58" s="10" t="s">
        <v>152</v>
      </c>
      <c r="B58" s="10" t="s">
        <v>160</v>
      </c>
      <c r="C58" s="10" t="s">
        <v>161</v>
      </c>
      <c r="D58" s="10" t="s">
        <v>14</v>
      </c>
      <c r="E58" s="15" t="s">
        <v>8</v>
      </c>
      <c r="F58" s="10" t="s">
        <v>159</v>
      </c>
    </row>
    <row r="59" customFormat="false" ht="23.85" hidden="false" customHeight="false" outlineLevel="0" collapsed="false">
      <c r="A59" s="10" t="s">
        <v>152</v>
      </c>
      <c r="B59" s="10" t="s">
        <v>162</v>
      </c>
      <c r="C59" s="10" t="s">
        <v>163</v>
      </c>
      <c r="D59" s="10" t="s">
        <v>14</v>
      </c>
      <c r="E59" s="15" t="s">
        <v>8</v>
      </c>
      <c r="F59" s="10" t="s">
        <v>164</v>
      </c>
    </row>
    <row r="60" customFormat="false" ht="23.85" hidden="false" customHeight="false" outlineLevel="0" collapsed="false">
      <c r="A60" s="10" t="s">
        <v>152</v>
      </c>
      <c r="B60" s="10" t="s">
        <v>165</v>
      </c>
      <c r="C60" s="10" t="s">
        <v>166</v>
      </c>
      <c r="D60" s="10" t="s">
        <v>14</v>
      </c>
      <c r="E60" s="15" t="s">
        <v>8</v>
      </c>
      <c r="F60" s="10" t="s">
        <v>100</v>
      </c>
    </row>
    <row r="61" customFormat="false" ht="23.85" hidden="false" customHeight="false" outlineLevel="0" collapsed="false">
      <c r="A61" s="10" t="s">
        <v>152</v>
      </c>
      <c r="B61" s="10" t="s">
        <v>167</v>
      </c>
      <c r="C61" s="10" t="s">
        <v>168</v>
      </c>
      <c r="D61" s="10" t="s">
        <v>14</v>
      </c>
      <c r="E61" s="15" t="s">
        <v>8</v>
      </c>
      <c r="F61" s="10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3"/>
  </cols>
  <sheetData>
    <row r="1" customFormat="false" ht="30" hidden="false" customHeight="true" outlineLevel="0" collapsed="false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</row>
    <row r="2" customFormat="false" ht="15" hidden="false" customHeight="false" outlineLevel="0" collapsed="false">
      <c r="A2" s="10" t="s">
        <v>170</v>
      </c>
      <c r="B2" s="10" t="s">
        <v>171</v>
      </c>
      <c r="C2" s="10" t="s">
        <v>172</v>
      </c>
      <c r="D2" s="10" t="s">
        <v>13</v>
      </c>
      <c r="E2" s="13" t="s">
        <v>7</v>
      </c>
      <c r="F2" s="10" t="s">
        <v>54</v>
      </c>
    </row>
    <row r="3" customFormat="false" ht="15" hidden="false" customHeight="false" outlineLevel="0" collapsed="false">
      <c r="A3" s="10" t="s">
        <v>170</v>
      </c>
      <c r="B3" s="10" t="s">
        <v>173</v>
      </c>
      <c r="C3" s="10" t="s">
        <v>174</v>
      </c>
      <c r="D3" s="10" t="s">
        <v>14</v>
      </c>
      <c r="E3" s="15" t="s">
        <v>8</v>
      </c>
      <c r="F3" s="10" t="s">
        <v>175</v>
      </c>
    </row>
    <row r="4" customFormat="false" ht="15" hidden="false" customHeight="false" outlineLevel="0" collapsed="false">
      <c r="A4" s="10" t="s">
        <v>170</v>
      </c>
      <c r="B4" s="10" t="s">
        <v>176</v>
      </c>
      <c r="C4" s="10" t="s">
        <v>177</v>
      </c>
      <c r="D4" s="10" t="s">
        <v>14</v>
      </c>
      <c r="E4" s="15" t="s">
        <v>8</v>
      </c>
      <c r="F4" s="10" t="s">
        <v>178</v>
      </c>
    </row>
    <row r="5" customFormat="false" ht="15" hidden="false" customHeight="false" outlineLevel="0" collapsed="false">
      <c r="A5" s="10" t="s">
        <v>170</v>
      </c>
      <c r="B5" s="10" t="s">
        <v>179</v>
      </c>
      <c r="C5" s="10" t="s">
        <v>180</v>
      </c>
      <c r="D5" s="10" t="s">
        <v>14</v>
      </c>
      <c r="E5" s="15" t="s">
        <v>8</v>
      </c>
      <c r="F5" s="10" t="s">
        <v>181</v>
      </c>
    </row>
    <row r="6" customFormat="false" ht="15" hidden="false" customHeight="false" outlineLevel="0" collapsed="false">
      <c r="A6" s="10" t="s">
        <v>170</v>
      </c>
      <c r="B6" s="10" t="s">
        <v>182</v>
      </c>
      <c r="C6" s="10" t="s">
        <v>183</v>
      </c>
      <c r="D6" s="10" t="s">
        <v>15</v>
      </c>
      <c r="E6" s="15" t="s">
        <v>8</v>
      </c>
      <c r="F6" s="10" t="s">
        <v>175</v>
      </c>
    </row>
    <row r="7" customFormat="false" ht="15" hidden="false" customHeight="false" outlineLevel="0" collapsed="false">
      <c r="A7" s="10" t="s">
        <v>184</v>
      </c>
      <c r="B7" s="10" t="s">
        <v>185</v>
      </c>
      <c r="C7" s="10" t="s">
        <v>186</v>
      </c>
      <c r="D7" s="10" t="s">
        <v>13</v>
      </c>
      <c r="E7" s="13" t="s">
        <v>7</v>
      </c>
      <c r="F7" s="10" t="s">
        <v>187</v>
      </c>
    </row>
    <row r="8" customFormat="false" ht="23.85" hidden="false" customHeight="false" outlineLevel="0" collapsed="false">
      <c r="A8" s="10" t="s">
        <v>184</v>
      </c>
      <c r="B8" s="10" t="s">
        <v>188</v>
      </c>
      <c r="C8" s="10" t="s">
        <v>189</v>
      </c>
      <c r="D8" s="10" t="s">
        <v>14</v>
      </c>
      <c r="E8" s="15" t="s">
        <v>8</v>
      </c>
      <c r="F8" s="10" t="s">
        <v>54</v>
      </c>
    </row>
    <row r="9" customFormat="false" ht="15" hidden="false" customHeight="false" outlineLevel="0" collapsed="false">
      <c r="A9" s="10" t="s">
        <v>190</v>
      </c>
      <c r="B9" s="10" t="s">
        <v>191</v>
      </c>
      <c r="C9" s="10" t="s">
        <v>192</v>
      </c>
      <c r="D9" s="10" t="s">
        <v>13</v>
      </c>
      <c r="E9" s="14" t="s">
        <v>193</v>
      </c>
      <c r="F9" s="10" t="s">
        <v>194</v>
      </c>
    </row>
    <row r="10" customFormat="false" ht="15" hidden="false" customHeight="false" outlineLevel="0" collapsed="false">
      <c r="A10" s="10" t="s">
        <v>190</v>
      </c>
      <c r="B10" s="10" t="s">
        <v>195</v>
      </c>
      <c r="C10" s="10" t="s">
        <v>196</v>
      </c>
      <c r="D10" s="10" t="s">
        <v>14</v>
      </c>
      <c r="E10" s="12" t="s">
        <v>197</v>
      </c>
      <c r="F10" s="10" t="s">
        <v>198</v>
      </c>
    </row>
    <row r="11" customFormat="false" ht="15" hidden="false" customHeight="false" outlineLevel="0" collapsed="false">
      <c r="A11" s="10" t="s">
        <v>190</v>
      </c>
      <c r="B11" s="10" t="s">
        <v>199</v>
      </c>
      <c r="C11" s="10" t="s">
        <v>200</v>
      </c>
      <c r="D11" s="10" t="s">
        <v>14</v>
      </c>
      <c r="E11" s="15" t="s">
        <v>8</v>
      </c>
      <c r="F11" s="10" t="s">
        <v>194</v>
      </c>
    </row>
    <row r="12" customFormat="false" ht="15" hidden="false" customHeight="false" outlineLevel="0" collapsed="false">
      <c r="A12" s="10" t="s">
        <v>190</v>
      </c>
      <c r="B12" s="10" t="s">
        <v>201</v>
      </c>
      <c r="C12" s="10" t="s">
        <v>202</v>
      </c>
      <c r="D12" s="10" t="s">
        <v>14</v>
      </c>
      <c r="E12" s="15" t="s">
        <v>8</v>
      </c>
      <c r="F12" s="10" t="s">
        <v>175</v>
      </c>
    </row>
    <row r="13" customFormat="false" ht="15" hidden="false" customHeight="false" outlineLevel="0" collapsed="false">
      <c r="A13" s="10" t="s">
        <v>190</v>
      </c>
      <c r="B13" s="10" t="s">
        <v>203</v>
      </c>
      <c r="C13" s="10" t="s">
        <v>204</v>
      </c>
      <c r="D13" s="10" t="s">
        <v>13</v>
      </c>
      <c r="E13" s="15" t="s">
        <v>8</v>
      </c>
      <c r="F13" s="10" t="s">
        <v>205</v>
      </c>
    </row>
    <row r="14" customFormat="false" ht="15" hidden="false" customHeight="false" outlineLevel="0" collapsed="false">
      <c r="A14" s="10" t="s">
        <v>190</v>
      </c>
      <c r="B14" s="10" t="s">
        <v>206</v>
      </c>
      <c r="C14" s="10" t="s">
        <v>207</v>
      </c>
      <c r="D14" s="10" t="s">
        <v>14</v>
      </c>
      <c r="E14" s="15" t="s">
        <v>8</v>
      </c>
      <c r="F14" s="10" t="s">
        <v>26</v>
      </c>
    </row>
    <row r="15" customFormat="false" ht="23.85" hidden="false" customHeight="false" outlineLevel="0" collapsed="false">
      <c r="A15" s="10" t="s">
        <v>208</v>
      </c>
      <c r="B15" s="10" t="s">
        <v>209</v>
      </c>
      <c r="C15" s="10" t="s">
        <v>210</v>
      </c>
      <c r="D15" s="10" t="s">
        <v>13</v>
      </c>
      <c r="E15" s="13" t="s">
        <v>6</v>
      </c>
      <c r="F15" s="10" t="s">
        <v>35</v>
      </c>
    </row>
    <row r="16" customFormat="false" ht="23.85" hidden="false" customHeight="false" outlineLevel="0" collapsed="false">
      <c r="A16" s="10" t="s">
        <v>208</v>
      </c>
      <c r="B16" s="10" t="s">
        <v>211</v>
      </c>
      <c r="C16" s="10" t="s">
        <v>212</v>
      </c>
      <c r="D16" s="10" t="s">
        <v>13</v>
      </c>
      <c r="E16" s="12" t="s">
        <v>4</v>
      </c>
      <c r="F16" s="10" t="s">
        <v>175</v>
      </c>
    </row>
    <row r="17" customFormat="false" ht="15" hidden="false" customHeight="false" outlineLevel="0" collapsed="false">
      <c r="A17" s="10" t="s">
        <v>208</v>
      </c>
      <c r="B17" s="10" t="s">
        <v>213</v>
      </c>
      <c r="C17" s="10" t="s">
        <v>214</v>
      </c>
      <c r="D17" s="10" t="s">
        <v>13</v>
      </c>
      <c r="E17" s="15" t="s">
        <v>8</v>
      </c>
      <c r="F17" s="10" t="s">
        <v>175</v>
      </c>
    </row>
    <row r="18" customFormat="false" ht="15" hidden="false" customHeight="false" outlineLevel="0" collapsed="false">
      <c r="A18" s="10" t="s">
        <v>208</v>
      </c>
      <c r="B18" s="10" t="s">
        <v>215</v>
      </c>
      <c r="C18" s="10" t="s">
        <v>216</v>
      </c>
      <c r="D18" s="10" t="s">
        <v>13</v>
      </c>
      <c r="E18" s="15" t="s">
        <v>8</v>
      </c>
      <c r="F18" s="10" t="s">
        <v>159</v>
      </c>
    </row>
    <row r="19" customFormat="false" ht="15" hidden="false" customHeight="false" outlineLevel="0" collapsed="false">
      <c r="A19" s="10" t="s">
        <v>208</v>
      </c>
      <c r="B19" s="10" t="s">
        <v>217</v>
      </c>
      <c r="C19" s="10" t="s">
        <v>218</v>
      </c>
      <c r="D19" s="10" t="s">
        <v>13</v>
      </c>
      <c r="E19" s="15" t="s">
        <v>8</v>
      </c>
      <c r="F19" s="10" t="s">
        <v>219</v>
      </c>
    </row>
    <row r="20" customFormat="false" ht="15" hidden="false" customHeight="false" outlineLevel="0" collapsed="false">
      <c r="A20" s="10" t="s">
        <v>208</v>
      </c>
      <c r="B20" s="10" t="s">
        <v>220</v>
      </c>
      <c r="C20" s="10" t="s">
        <v>221</v>
      </c>
      <c r="D20" s="10" t="s">
        <v>13</v>
      </c>
      <c r="E20" s="15" t="s">
        <v>8</v>
      </c>
      <c r="F20" s="10" t="s">
        <v>222</v>
      </c>
    </row>
    <row r="21" customFormat="false" ht="15" hidden="false" customHeight="false" outlineLevel="0" collapsed="false">
      <c r="A21" s="10" t="s">
        <v>208</v>
      </c>
      <c r="B21" s="10" t="s">
        <v>223</v>
      </c>
      <c r="C21" s="10" t="s">
        <v>224</v>
      </c>
      <c r="D21" s="10" t="s">
        <v>14</v>
      </c>
      <c r="E21" s="15" t="s">
        <v>8</v>
      </c>
      <c r="F21" s="10" t="s">
        <v>35</v>
      </c>
    </row>
    <row r="22" customFormat="false" ht="15" hidden="false" customHeight="false" outlineLevel="0" collapsed="false">
      <c r="A22" s="10" t="s">
        <v>208</v>
      </c>
      <c r="B22" s="10" t="s">
        <v>225</v>
      </c>
      <c r="C22" s="10" t="s">
        <v>226</v>
      </c>
      <c r="D22" s="10" t="s">
        <v>14</v>
      </c>
      <c r="E22" s="15" t="s">
        <v>8</v>
      </c>
      <c r="F22" s="10" t="s">
        <v>175</v>
      </c>
    </row>
    <row r="23" customFormat="false" ht="15" hidden="false" customHeight="false" outlineLevel="0" collapsed="false">
      <c r="A23" s="10" t="s">
        <v>208</v>
      </c>
      <c r="B23" s="10" t="s">
        <v>227</v>
      </c>
      <c r="C23" s="10" t="s">
        <v>228</v>
      </c>
      <c r="D23" s="10" t="s">
        <v>13</v>
      </c>
      <c r="E23" s="15" t="s">
        <v>8</v>
      </c>
      <c r="F23" s="10" t="s">
        <v>229</v>
      </c>
    </row>
    <row r="24" customFormat="false" ht="15" hidden="false" customHeight="false" outlineLevel="0" collapsed="false">
      <c r="A24" s="10" t="s">
        <v>208</v>
      </c>
      <c r="B24" s="10" t="s">
        <v>230</v>
      </c>
      <c r="C24" s="10" t="s">
        <v>231</v>
      </c>
      <c r="D24" s="10" t="s">
        <v>13</v>
      </c>
      <c r="E24" s="15" t="s">
        <v>8</v>
      </c>
      <c r="F24" s="10" t="s">
        <v>175</v>
      </c>
    </row>
    <row r="25" customFormat="false" ht="15" hidden="false" customHeight="false" outlineLevel="0" collapsed="false">
      <c r="A25" s="10" t="s">
        <v>208</v>
      </c>
      <c r="B25" s="10" t="s">
        <v>232</v>
      </c>
      <c r="C25" s="10" t="s">
        <v>233</v>
      </c>
      <c r="D25" s="10" t="s">
        <v>14</v>
      </c>
      <c r="E25" s="15" t="s">
        <v>8</v>
      </c>
      <c r="F25" s="10" t="s">
        <v>175</v>
      </c>
    </row>
    <row r="26" customFormat="false" ht="15" hidden="false" customHeight="false" outlineLevel="0" collapsed="false">
      <c r="A26" s="10" t="s">
        <v>208</v>
      </c>
      <c r="B26" s="10" t="s">
        <v>234</v>
      </c>
      <c r="C26" s="10" t="s">
        <v>235</v>
      </c>
      <c r="D26" s="10" t="s">
        <v>14</v>
      </c>
      <c r="E26" s="15" t="s">
        <v>8</v>
      </c>
      <c r="F26" s="10" t="s">
        <v>169</v>
      </c>
    </row>
    <row r="27" customFormat="false" ht="15" hidden="false" customHeight="false" outlineLevel="0" collapsed="false">
      <c r="A27" s="10" t="s">
        <v>236</v>
      </c>
      <c r="B27" s="10" t="s">
        <v>237</v>
      </c>
      <c r="C27" s="10" t="s">
        <v>238</v>
      </c>
      <c r="D27" s="10" t="s">
        <v>13</v>
      </c>
      <c r="E27" s="11" t="s">
        <v>3</v>
      </c>
      <c r="F27" s="10" t="s">
        <v>26</v>
      </c>
    </row>
    <row r="28" customFormat="false" ht="15" hidden="false" customHeight="false" outlineLevel="0" collapsed="false">
      <c r="A28" s="10" t="s">
        <v>236</v>
      </c>
      <c r="B28" s="10" t="s">
        <v>239</v>
      </c>
      <c r="C28" s="10" t="s">
        <v>240</v>
      </c>
      <c r="D28" s="10" t="s">
        <v>14</v>
      </c>
      <c r="E28" s="13" t="s">
        <v>6</v>
      </c>
      <c r="F28" s="10" t="s">
        <v>26</v>
      </c>
    </row>
    <row r="29" customFormat="false" ht="15" hidden="false" customHeight="false" outlineLevel="0" collapsed="false">
      <c r="A29" s="10" t="s">
        <v>236</v>
      </c>
      <c r="B29" s="10" t="s">
        <v>241</v>
      </c>
      <c r="C29" s="10" t="s">
        <v>242</v>
      </c>
      <c r="D29" s="10" t="s">
        <v>14</v>
      </c>
      <c r="E29" s="15" t="s">
        <v>8</v>
      </c>
      <c r="F29" s="10" t="s">
        <v>243</v>
      </c>
    </row>
    <row r="30" customFormat="false" ht="23.85" hidden="false" customHeight="false" outlineLevel="0" collapsed="false">
      <c r="A30" s="10" t="s">
        <v>236</v>
      </c>
      <c r="B30" s="10" t="s">
        <v>244</v>
      </c>
      <c r="C30" s="10" t="s">
        <v>245</v>
      </c>
      <c r="D30" s="10" t="s">
        <v>14</v>
      </c>
      <c r="E30" s="15" t="s">
        <v>8</v>
      </c>
      <c r="F30" s="10" t="s">
        <v>243</v>
      </c>
    </row>
    <row r="31" customFormat="false" ht="15" hidden="false" customHeight="false" outlineLevel="0" collapsed="false">
      <c r="A31" s="10" t="s">
        <v>236</v>
      </c>
      <c r="B31" s="10" t="s">
        <v>246</v>
      </c>
      <c r="C31" s="10" t="s">
        <v>247</v>
      </c>
      <c r="D31" s="10" t="s">
        <v>14</v>
      </c>
      <c r="E31" s="15" t="s">
        <v>8</v>
      </c>
      <c r="F31" s="10" t="s">
        <v>243</v>
      </c>
    </row>
    <row r="32" customFormat="false" ht="15" hidden="false" customHeight="false" outlineLevel="0" collapsed="false">
      <c r="A32" s="10" t="s">
        <v>236</v>
      </c>
      <c r="B32" s="10" t="s">
        <v>248</v>
      </c>
      <c r="C32" s="10" t="s">
        <v>249</v>
      </c>
      <c r="D32" s="10" t="s">
        <v>14</v>
      </c>
      <c r="E32" s="15" t="s">
        <v>8</v>
      </c>
      <c r="F32" s="10" t="s">
        <v>26</v>
      </c>
    </row>
    <row r="33" customFormat="false" ht="23.85" hidden="false" customHeight="false" outlineLevel="0" collapsed="false">
      <c r="A33" s="10" t="s">
        <v>236</v>
      </c>
      <c r="B33" s="10" t="s">
        <v>250</v>
      </c>
      <c r="C33" s="10" t="s">
        <v>251</v>
      </c>
      <c r="D33" s="10" t="s">
        <v>14</v>
      </c>
      <c r="E33" s="15" t="s">
        <v>8</v>
      </c>
      <c r="F33" s="10" t="s">
        <v>26</v>
      </c>
    </row>
    <row r="34" customFormat="false" ht="23.85" hidden="false" customHeight="false" outlineLevel="0" collapsed="false">
      <c r="A34" s="10" t="s">
        <v>252</v>
      </c>
      <c r="B34" s="10" t="s">
        <v>253</v>
      </c>
      <c r="C34" s="10" t="s">
        <v>254</v>
      </c>
      <c r="D34" s="10" t="s">
        <v>13</v>
      </c>
      <c r="E34" s="13" t="s">
        <v>6</v>
      </c>
      <c r="F34" s="10" t="s">
        <v>243</v>
      </c>
    </row>
    <row r="35" customFormat="false" ht="23.85" hidden="false" customHeight="false" outlineLevel="0" collapsed="false">
      <c r="A35" s="10" t="s">
        <v>252</v>
      </c>
      <c r="B35" s="10" t="s">
        <v>255</v>
      </c>
      <c r="C35" s="10" t="s">
        <v>256</v>
      </c>
      <c r="D35" s="10" t="s">
        <v>14</v>
      </c>
      <c r="E35" s="12" t="s">
        <v>4</v>
      </c>
      <c r="F35" s="10" t="s">
        <v>175</v>
      </c>
    </row>
    <row r="36" customFormat="false" ht="23.85" hidden="false" customHeight="false" outlineLevel="0" collapsed="false">
      <c r="A36" s="10" t="s">
        <v>252</v>
      </c>
      <c r="B36" s="10" t="s">
        <v>257</v>
      </c>
      <c r="C36" s="10" t="s">
        <v>258</v>
      </c>
      <c r="D36" s="10" t="s">
        <v>14</v>
      </c>
      <c r="E36" s="15" t="s">
        <v>8</v>
      </c>
      <c r="F36" s="10" t="s">
        <v>175</v>
      </c>
    </row>
    <row r="37" customFormat="false" ht="23.85" hidden="false" customHeight="false" outlineLevel="0" collapsed="false">
      <c r="A37" s="10" t="s">
        <v>252</v>
      </c>
      <c r="B37" s="10" t="s">
        <v>259</v>
      </c>
      <c r="C37" s="10" t="s">
        <v>260</v>
      </c>
      <c r="D37" s="10" t="s">
        <v>14</v>
      </c>
      <c r="E37" s="15" t="s">
        <v>8</v>
      </c>
      <c r="F37" s="10" t="s">
        <v>175</v>
      </c>
    </row>
    <row r="38" customFormat="false" ht="23.85" hidden="false" customHeight="false" outlineLevel="0" collapsed="false">
      <c r="A38" s="10" t="s">
        <v>252</v>
      </c>
      <c r="B38" s="10" t="s">
        <v>261</v>
      </c>
      <c r="C38" s="10" t="s">
        <v>262</v>
      </c>
      <c r="D38" s="10" t="s">
        <v>14</v>
      </c>
      <c r="E38" s="15" t="s">
        <v>8</v>
      </c>
      <c r="F38" s="10" t="s">
        <v>175</v>
      </c>
    </row>
    <row r="39" customFormat="false" ht="23.85" hidden="false" customHeight="false" outlineLevel="0" collapsed="false">
      <c r="A39" s="10" t="s">
        <v>252</v>
      </c>
      <c r="B39" s="10" t="s">
        <v>263</v>
      </c>
      <c r="C39" s="10" t="s">
        <v>264</v>
      </c>
      <c r="D39" s="10" t="s">
        <v>14</v>
      </c>
      <c r="E39" s="15" t="s">
        <v>8</v>
      </c>
      <c r="F39" s="10" t="s">
        <v>265</v>
      </c>
    </row>
    <row r="40" customFormat="false" ht="23.85" hidden="false" customHeight="false" outlineLevel="0" collapsed="false">
      <c r="A40" s="10" t="s">
        <v>252</v>
      </c>
      <c r="B40" s="10" t="s">
        <v>266</v>
      </c>
      <c r="C40" s="10" t="s">
        <v>267</v>
      </c>
      <c r="D40" s="10" t="s">
        <v>14</v>
      </c>
      <c r="E40" s="15" t="s">
        <v>8</v>
      </c>
      <c r="F40" s="10" t="s">
        <v>181</v>
      </c>
    </row>
    <row r="41" customFormat="false" ht="23.85" hidden="false" customHeight="false" outlineLevel="0" collapsed="false">
      <c r="A41" s="10" t="s">
        <v>252</v>
      </c>
      <c r="B41" s="10" t="s">
        <v>268</v>
      </c>
      <c r="C41" s="10" t="s">
        <v>269</v>
      </c>
      <c r="D41" s="10" t="s">
        <v>14</v>
      </c>
      <c r="E41" s="15" t="s">
        <v>8</v>
      </c>
      <c r="F41" s="10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2026-10-09T18:41:50Z</dcterms:created>
  <dc:creator>openpyxl</dc:creator>
  <dc:description/>
  <dc:language>en-US</dc:language>
  <cp:lastModifiedBy/>
  <dcterms:modified xsi:type="dcterms:W3CDTF">2026-10-09T18:41:50Z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